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39c196bc775386b/Desktop/"/>
    </mc:Choice>
  </mc:AlternateContent>
  <xr:revisionPtr revIDLastSave="1553" documentId="8_{789C3F9F-A311-405B-8672-37B923E10684}" xr6:coauthVersionLast="46" xr6:coauthVersionMax="46" xr10:uidLastSave="{2E0B24B9-A32F-44AB-B7A5-3356E184580C}"/>
  <bookViews>
    <workbookView xWindow="-110" yWindow="-110" windowWidth="19420" windowHeight="10420" activeTab="2" xr2:uid="{F60B1D52-6773-447F-BA64-B1FEC670D7CA}"/>
  </bookViews>
  <sheets>
    <sheet name="Base" sheetId="13" r:id="rId1"/>
    <sheet name="Mainstats" sheetId="1" r:id="rId2"/>
    <sheet name="MainVal" sheetId="14" r:id="rId3"/>
    <sheet name="TotalUpg" sheetId="16" r:id="rId4"/>
    <sheet name="Flower" sheetId="2" r:id="rId5"/>
    <sheet name="Plume" sheetId="3" r:id="rId6"/>
    <sheet name="Sands" sheetId="4" r:id="rId7"/>
    <sheet name="Goblet" sheetId="6" r:id="rId8"/>
    <sheet name="Circlet" sheetId="7" r:id="rId9"/>
    <sheet name="Tiers" sheetId="12" r:id="rId10"/>
  </sheets>
  <functionGroups builtInGroupCount="19"/>
  <definedNames>
    <definedName name="_xlnm._FilterDatabase" localSheetId="1" hidden="1">Mainstats!$A$1:$F$17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3" l="1"/>
  <c r="B1" i="13"/>
  <c r="B13" i="13"/>
</calcChain>
</file>

<file path=xl/sharedStrings.xml><?xml version="1.0" encoding="utf-8"?>
<sst xmlns="http://schemas.openxmlformats.org/spreadsheetml/2006/main" count="133" uniqueCount="26">
  <si>
    <t>Circlet</t>
  </si>
  <si>
    <t>Flower</t>
  </si>
  <si>
    <t>Plume</t>
  </si>
  <si>
    <t>Sands</t>
  </si>
  <si>
    <t>Goblet</t>
  </si>
  <si>
    <t>ATK</t>
  </si>
  <si>
    <t>DEF</t>
  </si>
  <si>
    <t>HP%</t>
  </si>
  <si>
    <t>ATK%</t>
  </si>
  <si>
    <t>DEF%</t>
  </si>
  <si>
    <t>ER</t>
  </si>
  <si>
    <t>EM</t>
  </si>
  <si>
    <t>CR</t>
  </si>
  <si>
    <t>CD</t>
  </si>
  <si>
    <t>Phys%</t>
  </si>
  <si>
    <t>Healing%</t>
  </si>
  <si>
    <t>HP</t>
  </si>
  <si>
    <t>Mainstat</t>
  </si>
  <si>
    <t>Elem%</t>
  </si>
  <si>
    <t>OffElem%</t>
  </si>
  <si>
    <t>Base ATK</t>
  </si>
  <si>
    <t>Base HP</t>
  </si>
  <si>
    <t>Base DEF</t>
  </si>
  <si>
    <t>Value</t>
  </si>
  <si>
    <t>Total Upgrades</t>
  </si>
  <si>
    <t>Odds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</si>
</sst>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0" fontId="0" fillId="0" borderId="0" xfId="0" applyNumberFormat="1"/>
    <xf numFmtId="16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FE8E1-BFF8-4D77-80A5-132CBFE61032}">
  <sheetPr codeName="Sheet7"/>
  <dimension ref="A1:B15"/>
  <sheetViews>
    <sheetView workbookViewId="0">
      <selection activeCell="B16" sqref="B16"/>
    </sheetView>
  </sheetViews>
  <sheetFormatPr defaultRowHeight="14.5" x14ac:dyDescent="0.35"/>
  <sheetData>
    <row r="1" spans="1:2" x14ac:dyDescent="0.35">
      <c r="A1" t="s">
        <v>20</v>
      </c>
      <c r="B1">
        <f>323+510</f>
        <v>833</v>
      </c>
    </row>
    <row r="2" spans="1:2" x14ac:dyDescent="0.35">
      <c r="A2" t="s">
        <v>21</v>
      </c>
      <c r="B2">
        <v>13103</v>
      </c>
    </row>
    <row r="3" spans="1:2" x14ac:dyDescent="0.35">
      <c r="A3" t="s">
        <v>22</v>
      </c>
      <c r="B3">
        <v>799</v>
      </c>
    </row>
    <row r="4" spans="1:2" x14ac:dyDescent="0.35">
      <c r="A4" t="s">
        <v>16</v>
      </c>
      <c r="B4">
        <v>0</v>
      </c>
    </row>
    <row r="5" spans="1:2" x14ac:dyDescent="0.35">
      <c r="A5" t="s">
        <v>5</v>
      </c>
      <c r="B5">
        <v>0</v>
      </c>
    </row>
    <row r="6" spans="1:2" x14ac:dyDescent="0.35">
      <c r="A6" t="s">
        <v>6</v>
      </c>
      <c r="B6">
        <v>0</v>
      </c>
    </row>
    <row r="7" spans="1:2" x14ac:dyDescent="0.35">
      <c r="A7" t="s">
        <v>7</v>
      </c>
      <c r="B7" s="1">
        <v>0</v>
      </c>
    </row>
    <row r="8" spans="1:2" x14ac:dyDescent="0.35">
      <c r="A8" t="s">
        <v>8</v>
      </c>
      <c r="B8" s="5">
        <v>0.41299999999999998</v>
      </c>
    </row>
    <row r="9" spans="1:2" x14ac:dyDescent="0.35">
      <c r="A9" t="s">
        <v>9</v>
      </c>
      <c r="B9" s="1">
        <v>0</v>
      </c>
    </row>
    <row r="10" spans="1:2" x14ac:dyDescent="0.35">
      <c r="A10" t="s">
        <v>10</v>
      </c>
      <c r="B10" s="1">
        <v>0</v>
      </c>
    </row>
    <row r="11" spans="1:2" x14ac:dyDescent="0.35">
      <c r="A11" t="s">
        <v>11</v>
      </c>
      <c r="B11">
        <v>0</v>
      </c>
    </row>
    <row r="12" spans="1:2" x14ac:dyDescent="0.35">
      <c r="A12" t="s">
        <v>12</v>
      </c>
      <c r="B12" s="2">
        <f>5%</f>
        <v>0.05</v>
      </c>
    </row>
    <row r="13" spans="1:2" x14ac:dyDescent="0.35">
      <c r="A13" t="s">
        <v>13</v>
      </c>
      <c r="B13" s="2">
        <f>88.4%</f>
        <v>0.88400000000000001</v>
      </c>
    </row>
    <row r="14" spans="1:2" x14ac:dyDescent="0.35">
      <c r="A14" t="s">
        <v>18</v>
      </c>
      <c r="B14" s="1">
        <v>0.2</v>
      </c>
    </row>
    <row r="15" spans="1:2" x14ac:dyDescent="0.35">
      <c r="A15" t="s">
        <v>14</v>
      </c>
      <c r="B15" s="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722CF-1807-415D-BD91-BAB8FAD59AD7}">
  <sheetPr codeName="Sheet1"/>
  <dimension ref="A1:F20"/>
  <sheetViews>
    <sheetView workbookViewId="0">
      <selection activeCell="B8" sqref="B8"/>
    </sheetView>
  </sheetViews>
  <sheetFormatPr defaultRowHeight="14.5" x14ac:dyDescent="0.35"/>
  <sheetData>
    <row r="1" spans="1:6" x14ac:dyDescent="0.35">
      <c r="B1" t="s">
        <v>1</v>
      </c>
      <c r="C1" t="s">
        <v>2</v>
      </c>
      <c r="D1" t="s">
        <v>3</v>
      </c>
      <c r="E1" t="s">
        <v>4</v>
      </c>
      <c r="F1" t="s">
        <v>0</v>
      </c>
    </row>
    <row r="2" spans="1:6" x14ac:dyDescent="0.35">
      <c r="A2" t="s">
        <v>16</v>
      </c>
      <c r="B2" s="1">
        <v>1</v>
      </c>
      <c r="C2" s="1">
        <v>0</v>
      </c>
      <c r="D2" s="2">
        <v>0</v>
      </c>
      <c r="E2" s="2">
        <v>0</v>
      </c>
      <c r="F2" s="2">
        <v>0</v>
      </c>
    </row>
    <row r="3" spans="1:6" x14ac:dyDescent="0.35">
      <c r="A3" t="s">
        <v>5</v>
      </c>
      <c r="B3" s="1">
        <v>0</v>
      </c>
      <c r="C3" s="1">
        <v>1</v>
      </c>
      <c r="D3" s="2">
        <v>0</v>
      </c>
      <c r="E3" s="2">
        <v>0</v>
      </c>
      <c r="F3" s="2">
        <v>0</v>
      </c>
    </row>
    <row r="4" spans="1:6" x14ac:dyDescent="0.35">
      <c r="A4" t="s">
        <v>6</v>
      </c>
      <c r="B4" s="1">
        <v>0</v>
      </c>
      <c r="C4" s="1">
        <v>0</v>
      </c>
      <c r="D4" s="2">
        <v>0</v>
      </c>
      <c r="E4" s="2">
        <v>0</v>
      </c>
      <c r="F4" s="2">
        <v>0</v>
      </c>
    </row>
    <row r="5" spans="1:6" x14ac:dyDescent="0.35">
      <c r="A5" t="s">
        <v>7</v>
      </c>
      <c r="B5" s="1">
        <v>0</v>
      </c>
      <c r="C5" s="1">
        <v>0</v>
      </c>
      <c r="D5" s="2">
        <v>0.26679999999999998</v>
      </c>
      <c r="E5" s="2">
        <v>0.21249999999999999</v>
      </c>
      <c r="F5" s="2">
        <v>0.22</v>
      </c>
    </row>
    <row r="6" spans="1:6" x14ac:dyDescent="0.35">
      <c r="A6" t="s">
        <v>8</v>
      </c>
      <c r="B6" s="1">
        <v>0</v>
      </c>
      <c r="C6" s="1">
        <v>0</v>
      </c>
      <c r="D6" s="2">
        <v>0.2666</v>
      </c>
      <c r="E6" s="2">
        <v>0.21249999999999999</v>
      </c>
      <c r="F6" s="2">
        <v>0.22</v>
      </c>
    </row>
    <row r="7" spans="1:6" x14ac:dyDescent="0.35">
      <c r="A7" t="s">
        <v>9</v>
      </c>
      <c r="B7" s="1">
        <v>0</v>
      </c>
      <c r="C7" s="1">
        <v>0</v>
      </c>
      <c r="D7" s="2">
        <v>0.2666</v>
      </c>
      <c r="E7" s="2">
        <v>0.2</v>
      </c>
      <c r="F7" s="2">
        <v>0.22</v>
      </c>
    </row>
    <row r="8" spans="1:6" x14ac:dyDescent="0.35">
      <c r="A8" t="s">
        <v>10</v>
      </c>
      <c r="B8" s="1">
        <v>0</v>
      </c>
      <c r="C8" s="1">
        <v>0</v>
      </c>
      <c r="D8" s="2">
        <v>0.1</v>
      </c>
      <c r="E8" s="2">
        <v>0</v>
      </c>
      <c r="F8" s="2">
        <v>0</v>
      </c>
    </row>
    <row r="9" spans="1:6" x14ac:dyDescent="0.35">
      <c r="A9" t="s">
        <v>11</v>
      </c>
      <c r="B9" s="1">
        <v>0</v>
      </c>
      <c r="C9" s="1">
        <v>0</v>
      </c>
      <c r="D9" s="2">
        <v>0.1</v>
      </c>
      <c r="E9" s="2">
        <v>2.5000000000000001E-2</v>
      </c>
      <c r="F9" s="2">
        <v>0.04</v>
      </c>
    </row>
    <row r="10" spans="1:6" x14ac:dyDescent="0.35">
      <c r="A10" t="s">
        <v>12</v>
      </c>
      <c r="B10" s="1">
        <v>0</v>
      </c>
      <c r="C10" s="1">
        <v>0</v>
      </c>
      <c r="D10" s="2">
        <v>0</v>
      </c>
      <c r="E10" s="2">
        <v>0</v>
      </c>
      <c r="F10" s="2">
        <v>0.1</v>
      </c>
    </row>
    <row r="11" spans="1:6" x14ac:dyDescent="0.35">
      <c r="A11" t="s">
        <v>13</v>
      </c>
      <c r="B11" s="1">
        <v>0</v>
      </c>
      <c r="C11" s="1">
        <v>0</v>
      </c>
      <c r="D11" s="2">
        <v>0</v>
      </c>
      <c r="E11" s="2">
        <v>0</v>
      </c>
      <c r="F11" s="2">
        <v>0.1</v>
      </c>
    </row>
    <row r="12" spans="1:6" x14ac:dyDescent="0.35">
      <c r="A12" t="s">
        <v>18</v>
      </c>
      <c r="B12" s="1">
        <v>0</v>
      </c>
      <c r="C12" s="1">
        <v>0</v>
      </c>
      <c r="D12" s="2">
        <v>0</v>
      </c>
      <c r="E12" s="2">
        <v>0.05</v>
      </c>
      <c r="F12" s="2">
        <v>0</v>
      </c>
    </row>
    <row r="13" spans="1:6" x14ac:dyDescent="0.35">
      <c r="A13" t="s">
        <v>19</v>
      </c>
      <c r="B13" s="1">
        <v>0</v>
      </c>
      <c r="C13" s="1">
        <v>0</v>
      </c>
      <c r="D13" s="2">
        <v>0</v>
      </c>
      <c r="E13" s="2">
        <v>0.25</v>
      </c>
      <c r="F13" s="2">
        <v>0</v>
      </c>
    </row>
    <row r="14" spans="1:6" x14ac:dyDescent="0.35">
      <c r="A14" t="s">
        <v>14</v>
      </c>
      <c r="B14" s="1">
        <v>0</v>
      </c>
      <c r="C14" s="1">
        <v>0</v>
      </c>
      <c r="D14" s="2">
        <v>0</v>
      </c>
      <c r="E14" s="2">
        <v>0.05</v>
      </c>
      <c r="F14" s="2">
        <v>0</v>
      </c>
    </row>
    <row r="15" spans="1:6" x14ac:dyDescent="0.35">
      <c r="A15" t="s">
        <v>15</v>
      </c>
      <c r="B15" s="1">
        <v>0</v>
      </c>
      <c r="C15" s="1">
        <v>0</v>
      </c>
      <c r="D15" s="2">
        <v>0</v>
      </c>
      <c r="E15" s="2">
        <v>0</v>
      </c>
      <c r="F15" s="2">
        <v>0.1</v>
      </c>
    </row>
    <row r="16" spans="1:6" x14ac:dyDescent="0.35">
      <c r="B16" s="1"/>
      <c r="C16" s="1"/>
      <c r="D16" s="2"/>
      <c r="E16" s="2"/>
      <c r="F16" s="2"/>
    </row>
    <row r="17" spans="2:6" x14ac:dyDescent="0.35">
      <c r="B17" s="1"/>
      <c r="C17" s="1"/>
      <c r="D17" s="2"/>
      <c r="E17" s="2"/>
      <c r="F17" s="2"/>
    </row>
    <row r="20" spans="2:6" x14ac:dyDescent="0.35">
      <c r="B20" s="1"/>
      <c r="C20" s="1"/>
      <c r="D20" s="1"/>
      <c r="E20" s="1"/>
      <c r="F2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4E97-7593-40D3-83E9-DDAE22710056}">
  <sheetPr codeName="Sheet8"/>
  <dimension ref="A1:B15"/>
  <sheetViews>
    <sheetView tabSelected="1" workbookViewId="0">
      <selection activeCell="A8" sqref="A8"/>
    </sheetView>
  </sheetViews>
  <sheetFormatPr defaultRowHeight="14.5" x14ac:dyDescent="0.35"/>
  <cols>
    <col min="2" max="2" width="9.81640625" bestFit="1" customWidth="1"/>
  </cols>
  <sheetData>
    <row r="1" spans="1:2" x14ac:dyDescent="0.35">
      <c r="A1" t="s">
        <v>17</v>
      </c>
      <c r="B1" t="s">
        <v>23</v>
      </c>
    </row>
    <row r="2" spans="1:2" x14ac:dyDescent="0.35">
      <c r="A2" t="s">
        <v>16</v>
      </c>
      <c r="B2">
        <v>4780</v>
      </c>
    </row>
    <row r="3" spans="1:2" x14ac:dyDescent="0.35">
      <c r="A3" t="s">
        <v>5</v>
      </c>
      <c r="B3">
        <v>311</v>
      </c>
    </row>
    <row r="4" spans="1:2" x14ac:dyDescent="0.35">
      <c r="A4" t="s">
        <v>6</v>
      </c>
      <c r="B4">
        <v>0</v>
      </c>
    </row>
    <row r="5" spans="1:2" x14ac:dyDescent="0.35">
      <c r="A5" t="s">
        <v>7</v>
      </c>
      <c r="B5" s="2">
        <v>0.46600000000000003</v>
      </c>
    </row>
    <row r="6" spans="1:2" x14ac:dyDescent="0.35">
      <c r="A6" t="s">
        <v>8</v>
      </c>
      <c r="B6" s="2">
        <v>0.46600000000000003</v>
      </c>
    </row>
    <row r="7" spans="1:2" x14ac:dyDescent="0.35">
      <c r="A7" t="s">
        <v>9</v>
      </c>
      <c r="B7" s="2">
        <v>0.58299999999999996</v>
      </c>
    </row>
    <row r="8" spans="1:2" x14ac:dyDescent="0.35">
      <c r="A8" t="s">
        <v>10</v>
      </c>
      <c r="B8" s="2">
        <v>0.51800000000000002</v>
      </c>
    </row>
    <row r="9" spans="1:2" x14ac:dyDescent="0.35">
      <c r="A9" t="s">
        <v>11</v>
      </c>
      <c r="B9" s="4">
        <v>187</v>
      </c>
    </row>
    <row r="10" spans="1:2" x14ac:dyDescent="0.35">
      <c r="A10" t="s">
        <v>12</v>
      </c>
      <c r="B10" s="2">
        <v>0.311</v>
      </c>
    </row>
    <row r="11" spans="1:2" x14ac:dyDescent="0.35">
      <c r="A11" t="s">
        <v>13</v>
      </c>
      <c r="B11" s="2">
        <v>0.622</v>
      </c>
    </row>
    <row r="12" spans="1:2" x14ac:dyDescent="0.35">
      <c r="A12" t="s">
        <v>18</v>
      </c>
      <c r="B12" s="2">
        <v>0.46600000000000003</v>
      </c>
    </row>
    <row r="13" spans="1:2" x14ac:dyDescent="0.35">
      <c r="A13" t="s">
        <v>19</v>
      </c>
      <c r="B13" s="2">
        <v>0.46600000000000003</v>
      </c>
    </row>
    <row r="14" spans="1:2" x14ac:dyDescent="0.35">
      <c r="A14" t="s">
        <v>14</v>
      </c>
      <c r="B14" s="2">
        <v>0.58299999999999996</v>
      </c>
    </row>
    <row r="15" spans="1:2" x14ac:dyDescent="0.35">
      <c r="A15" t="s">
        <v>15</v>
      </c>
      <c r="B15" s="2">
        <v>0.35899999999999999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9EC7-4BED-405C-8C7A-BA624A586C91}">
  <sheetPr codeName="Sheet9"/>
  <dimension ref="A1:B3"/>
  <sheetViews>
    <sheetView workbookViewId="0">
      <selection activeCell="A10" sqref="A10"/>
    </sheetView>
  </sheetViews>
  <sheetFormatPr defaultRowHeight="14.5" x14ac:dyDescent="0.35"/>
  <cols>
    <col min="1" max="1" width="13.453125" bestFit="1" customWidth="1"/>
  </cols>
  <sheetData>
    <row r="1" spans="1:2" x14ac:dyDescent="0.35">
      <c r="A1" t="s">
        <v>24</v>
      </c>
      <c r="B1" t="s">
        <v>25</v>
      </c>
    </row>
    <row r="2" spans="1:2" x14ac:dyDescent="0.35">
      <c r="A2">
        <v>4</v>
      </c>
      <c r="B2" s="1">
        <v>0.8</v>
      </c>
    </row>
    <row r="3" spans="1:2" x14ac:dyDescent="0.35">
      <c r="A3">
        <v>5</v>
      </c>
      <c r="B3" s="1">
        <v>0.2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12D8F-0506-49AB-8A08-D9145A1BB401}">
  <sheetPr codeName="Sheet2"/>
  <dimension ref="A1:L2"/>
  <sheetViews>
    <sheetView workbookViewId="0">
      <selection activeCell="H15" sqref="H15"/>
    </sheetView>
  </sheetViews>
  <sheetFormatPr defaultRowHeight="14.5" x14ac:dyDescent="0.35"/>
  <sheetData>
    <row r="1" spans="1:12" x14ac:dyDescent="0.35">
      <c r="B1" t="s">
        <v>16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</row>
    <row r="2" spans="1:12" x14ac:dyDescent="0.35">
      <c r="A2" t="s">
        <v>16</v>
      </c>
      <c r="B2" s="2">
        <v>0</v>
      </c>
      <c r="C2" s="2">
        <v>0.15790000000000001</v>
      </c>
      <c r="D2" s="2">
        <v>0.15790000000000001</v>
      </c>
      <c r="E2" s="2">
        <v>0.1053</v>
      </c>
      <c r="F2" s="2">
        <v>0.1053</v>
      </c>
      <c r="G2" s="2">
        <v>0.1053</v>
      </c>
      <c r="H2" s="2">
        <v>0.1053</v>
      </c>
      <c r="I2" s="2">
        <v>0.1053</v>
      </c>
      <c r="J2" s="2">
        <v>7.8899999999999998E-2</v>
      </c>
      <c r="K2" s="2">
        <v>7.8899999999999998E-2</v>
      </c>
      <c r="L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C2B28-360D-434F-8D60-177771E4CCB9}">
  <sheetPr codeName="Sheet3"/>
  <dimension ref="A1:K2"/>
  <sheetViews>
    <sheetView workbookViewId="0">
      <selection activeCell="B4" sqref="B4"/>
    </sheetView>
  </sheetViews>
  <sheetFormatPr defaultRowHeight="14.5" x14ac:dyDescent="0.35"/>
  <sheetData>
    <row r="1" spans="1:11" x14ac:dyDescent="0.35">
      <c r="B1" t="s">
        <v>16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</row>
    <row r="2" spans="1:11" x14ac:dyDescent="0.35">
      <c r="A2" t="s">
        <v>5</v>
      </c>
      <c r="B2" s="2">
        <v>0.15790000000000001</v>
      </c>
      <c r="C2" s="2">
        <v>0</v>
      </c>
      <c r="D2" s="2">
        <v>0.15790000000000001</v>
      </c>
      <c r="E2" s="2">
        <v>0.1053</v>
      </c>
      <c r="F2" s="2">
        <v>0.1053</v>
      </c>
      <c r="G2" s="2">
        <v>0.1053</v>
      </c>
      <c r="H2" s="2">
        <v>0.1053</v>
      </c>
      <c r="I2" s="2">
        <v>0.1053</v>
      </c>
      <c r="J2" s="2">
        <v>7.8899999999999998E-2</v>
      </c>
      <c r="K2" s="2">
        <v>7.8899999999999998E-2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DA7B-6C99-420D-ABF0-8A119541648A}">
  <sheetPr codeName="Sheet4"/>
  <dimension ref="A1:K6"/>
  <sheetViews>
    <sheetView workbookViewId="0">
      <selection activeCell="E22" sqref="E22"/>
    </sheetView>
  </sheetViews>
  <sheetFormatPr defaultRowHeight="14.5" x14ac:dyDescent="0.35"/>
  <cols>
    <col min="2" max="2" width="9.81640625" bestFit="1" customWidth="1"/>
  </cols>
  <sheetData>
    <row r="1" spans="1:11" x14ac:dyDescent="0.35">
      <c r="B1" t="s">
        <v>16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</row>
    <row r="2" spans="1:11" x14ac:dyDescent="0.35">
      <c r="A2" t="s">
        <v>7</v>
      </c>
      <c r="B2" s="3">
        <v>0.15</v>
      </c>
      <c r="C2" s="3">
        <v>0.15</v>
      </c>
      <c r="D2" s="3">
        <v>0.15</v>
      </c>
      <c r="E2" s="3">
        <v>0</v>
      </c>
      <c r="F2" s="3">
        <v>0.1</v>
      </c>
      <c r="G2" s="3">
        <v>0.1</v>
      </c>
      <c r="H2" s="3">
        <v>0.1</v>
      </c>
      <c r="I2" s="3">
        <v>0.1</v>
      </c>
      <c r="J2" s="3">
        <v>7.4999999999999997E-2</v>
      </c>
      <c r="K2" s="3">
        <v>7.4999999999999997E-2</v>
      </c>
    </row>
    <row r="3" spans="1:11" x14ac:dyDescent="0.35">
      <c r="A3" t="s">
        <v>8</v>
      </c>
      <c r="B3" s="3">
        <v>0.15</v>
      </c>
      <c r="C3" s="3">
        <v>0.15</v>
      </c>
      <c r="D3" s="3">
        <v>0.15</v>
      </c>
      <c r="E3" s="3">
        <v>0.1</v>
      </c>
      <c r="F3" s="3">
        <v>0</v>
      </c>
      <c r="G3" s="3">
        <v>0.1</v>
      </c>
      <c r="H3" s="3">
        <v>0.1</v>
      </c>
      <c r="I3" s="3">
        <v>0.1</v>
      </c>
      <c r="J3" s="3">
        <v>7.4999999999999997E-2</v>
      </c>
      <c r="K3" s="3">
        <v>7.4999999999999997E-2</v>
      </c>
    </row>
    <row r="4" spans="1:11" x14ac:dyDescent="0.35">
      <c r="A4" t="s">
        <v>9</v>
      </c>
      <c r="B4" s="3">
        <v>0.15</v>
      </c>
      <c r="C4" s="3">
        <v>0.15</v>
      </c>
      <c r="D4" s="3">
        <v>0.15</v>
      </c>
      <c r="E4" s="3">
        <v>0.1</v>
      </c>
      <c r="F4" s="3">
        <v>0.1</v>
      </c>
      <c r="G4" s="3">
        <v>0</v>
      </c>
      <c r="H4" s="3">
        <v>0.1</v>
      </c>
      <c r="I4" s="3">
        <v>0.1</v>
      </c>
      <c r="J4" s="3">
        <v>7.4999999999999997E-2</v>
      </c>
      <c r="K4" s="3">
        <v>7.4999999999999997E-2</v>
      </c>
    </row>
    <row r="5" spans="1:11" x14ac:dyDescent="0.35">
      <c r="A5" t="s">
        <v>10</v>
      </c>
      <c r="B5" s="3">
        <v>0.15</v>
      </c>
      <c r="C5" s="3">
        <v>0.15</v>
      </c>
      <c r="D5" s="3">
        <v>0.15</v>
      </c>
      <c r="E5" s="3">
        <v>0.1</v>
      </c>
      <c r="F5" s="3">
        <v>0.1</v>
      </c>
      <c r="G5" s="3">
        <v>0.1</v>
      </c>
      <c r="H5" s="3">
        <v>0</v>
      </c>
      <c r="I5" s="3">
        <v>0.1</v>
      </c>
      <c r="J5" s="3">
        <v>7.4999999999999997E-2</v>
      </c>
      <c r="K5" s="3">
        <v>7.4999999999999997E-2</v>
      </c>
    </row>
    <row r="6" spans="1:11" x14ac:dyDescent="0.35">
      <c r="A6" t="s">
        <v>11</v>
      </c>
      <c r="B6" s="3">
        <v>0.15</v>
      </c>
      <c r="C6" s="3">
        <v>0.15</v>
      </c>
      <c r="D6" s="3">
        <v>0.15</v>
      </c>
      <c r="E6" s="3">
        <v>0.1</v>
      </c>
      <c r="F6" s="3">
        <v>0.1</v>
      </c>
      <c r="G6" s="3">
        <v>0.1</v>
      </c>
      <c r="H6" s="3">
        <v>0.1</v>
      </c>
      <c r="I6" s="3">
        <v>0</v>
      </c>
      <c r="J6" s="3">
        <v>7.4999999999999997E-2</v>
      </c>
      <c r="K6" s="3">
        <v>7.4999999999999997E-2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44DEF-A959-4F32-B03C-47C4A78D5012}">
  <sheetPr codeName="Sheet5"/>
  <dimension ref="A1:K11"/>
  <sheetViews>
    <sheetView workbookViewId="0">
      <selection activeCell="E6" sqref="E6"/>
    </sheetView>
  </sheetViews>
  <sheetFormatPr defaultRowHeight="14.5" x14ac:dyDescent="0.35"/>
  <sheetData>
    <row r="1" spans="1:11" x14ac:dyDescent="0.35">
      <c r="B1" t="s">
        <v>16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</row>
    <row r="2" spans="1:11" x14ac:dyDescent="0.35">
      <c r="A2" t="s">
        <v>7</v>
      </c>
      <c r="B2" s="3">
        <v>0.15</v>
      </c>
      <c r="C2" s="3">
        <v>0.15</v>
      </c>
      <c r="D2" s="3">
        <v>0.15</v>
      </c>
      <c r="E2" s="3">
        <v>0</v>
      </c>
      <c r="F2" s="3">
        <v>0.1</v>
      </c>
      <c r="G2" s="3">
        <v>0.1</v>
      </c>
      <c r="H2" s="3">
        <v>0.1</v>
      </c>
      <c r="I2" s="3">
        <v>0.1</v>
      </c>
      <c r="J2" s="3">
        <v>7.4999999999999997E-2</v>
      </c>
      <c r="K2" s="3">
        <v>7.4999999999999997E-2</v>
      </c>
    </row>
    <row r="3" spans="1:11" x14ac:dyDescent="0.35">
      <c r="A3" t="s">
        <v>8</v>
      </c>
      <c r="B3" s="3">
        <v>0.15</v>
      </c>
      <c r="C3" s="3">
        <v>0.15</v>
      </c>
      <c r="D3" s="3">
        <v>0.15</v>
      </c>
      <c r="E3" s="3">
        <v>0.1</v>
      </c>
      <c r="F3" s="3">
        <v>0</v>
      </c>
      <c r="G3" s="3">
        <v>0.1</v>
      </c>
      <c r="H3" s="3">
        <v>0.1</v>
      </c>
      <c r="I3" s="3">
        <v>0.1</v>
      </c>
      <c r="J3" s="3">
        <v>7.4999999999999997E-2</v>
      </c>
      <c r="K3" s="3">
        <v>7.4999999999999997E-2</v>
      </c>
    </row>
    <row r="4" spans="1:11" x14ac:dyDescent="0.35">
      <c r="A4" t="s">
        <v>9</v>
      </c>
      <c r="B4" s="3">
        <v>0.15</v>
      </c>
      <c r="C4" s="3">
        <v>0.15</v>
      </c>
      <c r="D4" s="3">
        <v>0.15</v>
      </c>
      <c r="E4" s="3">
        <v>0.1</v>
      </c>
      <c r="F4" s="3">
        <v>0.1</v>
      </c>
      <c r="G4" s="3">
        <v>0</v>
      </c>
      <c r="H4" s="3">
        <v>0.1</v>
      </c>
      <c r="I4" s="3">
        <v>0.1</v>
      </c>
      <c r="J4" s="3">
        <v>7.4999999999999997E-2</v>
      </c>
      <c r="K4" s="3">
        <v>7.4999999999999997E-2</v>
      </c>
    </row>
    <row r="5" spans="1:11" x14ac:dyDescent="0.35">
      <c r="A5" t="s">
        <v>11</v>
      </c>
      <c r="B5" s="3">
        <v>0.15</v>
      </c>
      <c r="C5" s="3">
        <v>0.15</v>
      </c>
      <c r="D5" s="3">
        <v>0.15</v>
      </c>
      <c r="E5" s="3">
        <v>0.1</v>
      </c>
      <c r="F5" s="3">
        <v>0.1</v>
      </c>
      <c r="G5" s="3">
        <v>0.1</v>
      </c>
      <c r="H5" s="3">
        <v>0.1</v>
      </c>
      <c r="I5" s="3">
        <v>0</v>
      </c>
      <c r="J5" s="3">
        <v>7.4999999999999997E-2</v>
      </c>
      <c r="K5" s="3">
        <v>7.4999999999999997E-2</v>
      </c>
    </row>
    <row r="6" spans="1:11" x14ac:dyDescent="0.35">
      <c r="A6" t="s">
        <v>18</v>
      </c>
      <c r="B6" s="3">
        <v>0.13639999999999999</v>
      </c>
      <c r="C6" s="3">
        <v>0.13639999999999999</v>
      </c>
      <c r="D6" s="3">
        <v>0.13639999999999999</v>
      </c>
      <c r="E6" s="3">
        <v>9.0899999999999995E-2</v>
      </c>
      <c r="F6" s="3">
        <v>9.0899999999999995E-2</v>
      </c>
      <c r="G6" s="3">
        <v>9.0899999999999995E-2</v>
      </c>
      <c r="H6" s="3">
        <v>9.0899999999999995E-2</v>
      </c>
      <c r="I6" s="3">
        <v>9.0899999999999995E-2</v>
      </c>
      <c r="J6" s="3">
        <v>6.8199999999999997E-2</v>
      </c>
      <c r="K6" s="3">
        <v>6.8199999999999997E-2</v>
      </c>
    </row>
    <row r="7" spans="1:11" x14ac:dyDescent="0.35">
      <c r="A7" t="s">
        <v>19</v>
      </c>
      <c r="B7" s="3">
        <v>0.13639999999999999</v>
      </c>
      <c r="C7" s="3">
        <v>0.13639999999999999</v>
      </c>
      <c r="D7" s="3">
        <v>0.13639999999999999</v>
      </c>
      <c r="E7" s="3">
        <v>9.0899999999999995E-2</v>
      </c>
      <c r="F7" s="3">
        <v>9.0899999999999995E-2</v>
      </c>
      <c r="G7" s="3">
        <v>9.0899999999999995E-2</v>
      </c>
      <c r="H7" s="3">
        <v>9.0899999999999995E-2</v>
      </c>
      <c r="I7" s="3">
        <v>9.0899999999999995E-2</v>
      </c>
      <c r="J7" s="3">
        <v>6.8199999999999997E-2</v>
      </c>
      <c r="K7" s="3">
        <v>6.8199999999999997E-2</v>
      </c>
    </row>
    <row r="8" spans="1:11" x14ac:dyDescent="0.35">
      <c r="A8" t="s">
        <v>14</v>
      </c>
      <c r="B8" s="3">
        <v>0.13639999999999999</v>
      </c>
      <c r="C8" s="3">
        <v>0.13639999999999999</v>
      </c>
      <c r="D8" s="3">
        <v>0.13639999999999999</v>
      </c>
      <c r="E8" s="3">
        <v>9.0899999999999995E-2</v>
      </c>
      <c r="F8" s="3">
        <v>9.0899999999999995E-2</v>
      </c>
      <c r="G8" s="3">
        <v>9.0899999999999995E-2</v>
      </c>
      <c r="H8" s="3">
        <v>9.0899999999999995E-2</v>
      </c>
      <c r="I8" s="3">
        <v>9.0899999999999995E-2</v>
      </c>
      <c r="J8" s="3">
        <v>6.8199999999999997E-2</v>
      </c>
      <c r="K8" s="3">
        <v>6.8199999999999997E-2</v>
      </c>
    </row>
    <row r="10" spans="1:11" x14ac:dyDescent="0.35"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5">
      <c r="B11" s="3"/>
      <c r="C11" s="3"/>
      <c r="D11" s="3"/>
      <c r="E11" s="3"/>
      <c r="F11" s="3"/>
      <c r="G11" s="3"/>
      <c r="H11" s="3"/>
      <c r="I11" s="3"/>
      <c r="J11" s="3"/>
      <c r="K11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51AF7-259D-4BB2-9903-EB1B70F1C12B}">
  <sheetPr codeName="Sheet6"/>
  <dimension ref="A1:K8"/>
  <sheetViews>
    <sheetView workbookViewId="0">
      <selection activeCell="A16" sqref="A16"/>
    </sheetView>
  </sheetViews>
  <sheetFormatPr defaultRowHeight="14.5" x14ac:dyDescent="0.35"/>
  <sheetData>
    <row r="1" spans="1:11" x14ac:dyDescent="0.35">
      <c r="B1" t="s">
        <v>16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</row>
    <row r="2" spans="1:11" x14ac:dyDescent="0.35">
      <c r="A2" t="s">
        <v>7</v>
      </c>
      <c r="B2" s="3">
        <v>0.15</v>
      </c>
      <c r="C2" s="3">
        <v>0.15</v>
      </c>
      <c r="D2" s="3">
        <v>0.15</v>
      </c>
      <c r="E2" s="3">
        <v>0</v>
      </c>
      <c r="F2" s="3">
        <v>0.1</v>
      </c>
      <c r="G2" s="3">
        <v>0.1</v>
      </c>
      <c r="H2" s="3">
        <v>0.1</v>
      </c>
      <c r="I2" s="3">
        <v>0.1</v>
      </c>
      <c r="J2" s="3">
        <v>7.4999999999999997E-2</v>
      </c>
      <c r="K2" s="3">
        <v>7.4999999999999997E-2</v>
      </c>
    </row>
    <row r="3" spans="1:11" x14ac:dyDescent="0.35">
      <c r="A3" t="s">
        <v>8</v>
      </c>
      <c r="B3" s="3">
        <v>0.15</v>
      </c>
      <c r="C3" s="3">
        <v>0.15</v>
      </c>
      <c r="D3" s="3">
        <v>0.15</v>
      </c>
      <c r="E3" s="3">
        <v>0.1</v>
      </c>
      <c r="F3" s="3">
        <v>0</v>
      </c>
      <c r="G3" s="3">
        <v>0.1</v>
      </c>
      <c r="H3" s="3">
        <v>0.1</v>
      </c>
      <c r="I3" s="3">
        <v>0.1</v>
      </c>
      <c r="J3" s="3">
        <v>7.4999999999999997E-2</v>
      </c>
      <c r="K3" s="3">
        <v>7.4999999999999997E-2</v>
      </c>
    </row>
    <row r="4" spans="1:11" x14ac:dyDescent="0.35">
      <c r="A4" t="s">
        <v>9</v>
      </c>
      <c r="B4" s="3">
        <v>0.15</v>
      </c>
      <c r="C4" s="3">
        <v>0.15</v>
      </c>
      <c r="D4" s="3">
        <v>0.15</v>
      </c>
      <c r="E4" s="3">
        <v>0.1</v>
      </c>
      <c r="F4" s="3">
        <v>0.1</v>
      </c>
      <c r="G4" s="3">
        <v>0</v>
      </c>
      <c r="H4" s="3">
        <v>0.1</v>
      </c>
      <c r="I4" s="3">
        <v>0.1</v>
      </c>
      <c r="J4" s="3">
        <v>7.4999999999999997E-2</v>
      </c>
      <c r="K4" s="3">
        <v>7.4999999999999997E-2</v>
      </c>
    </row>
    <row r="5" spans="1:11" x14ac:dyDescent="0.35">
      <c r="A5" t="s">
        <v>11</v>
      </c>
      <c r="B5" s="3">
        <v>0.15</v>
      </c>
      <c r="C5" s="3">
        <v>0.15</v>
      </c>
      <c r="D5" s="3">
        <v>0.15</v>
      </c>
      <c r="E5" s="3">
        <v>0.1</v>
      </c>
      <c r="F5" s="3">
        <v>0.1</v>
      </c>
      <c r="G5" s="3">
        <v>0.1</v>
      </c>
      <c r="H5" s="3">
        <v>0.1</v>
      </c>
      <c r="I5" s="3">
        <v>0</v>
      </c>
      <c r="J5" s="3">
        <v>7.4999999999999997E-2</v>
      </c>
      <c r="K5" s="3">
        <v>7.4999999999999997E-2</v>
      </c>
    </row>
    <row r="6" spans="1:11" x14ac:dyDescent="0.35">
      <c r="A6" t="s">
        <v>12</v>
      </c>
      <c r="B6" s="3">
        <v>0.14630000000000001</v>
      </c>
      <c r="C6" s="3">
        <v>0.14630000000000001</v>
      </c>
      <c r="D6" s="3">
        <v>0.14630000000000001</v>
      </c>
      <c r="E6" s="3">
        <v>9.7600000000000006E-2</v>
      </c>
      <c r="F6" s="3">
        <v>9.7600000000000006E-2</v>
      </c>
      <c r="G6" s="3">
        <v>9.7600000000000006E-2</v>
      </c>
      <c r="H6" s="3">
        <v>9.7600000000000006E-2</v>
      </c>
      <c r="I6" s="3">
        <v>9.7600000000000006E-2</v>
      </c>
      <c r="J6" s="3">
        <v>0</v>
      </c>
      <c r="K6" s="3">
        <v>7.3200000000000001E-2</v>
      </c>
    </row>
    <row r="7" spans="1:11" x14ac:dyDescent="0.35">
      <c r="A7" t="s">
        <v>13</v>
      </c>
      <c r="B7" s="3">
        <v>0.14630000000000001</v>
      </c>
      <c r="C7" s="3">
        <v>0.14630000000000001</v>
      </c>
      <c r="D7" s="3">
        <v>0.14630000000000001</v>
      </c>
      <c r="E7" s="3">
        <v>9.7600000000000006E-2</v>
      </c>
      <c r="F7" s="3">
        <v>9.7600000000000006E-2</v>
      </c>
      <c r="G7" s="3">
        <v>9.7600000000000006E-2</v>
      </c>
      <c r="H7" s="3">
        <v>9.7600000000000006E-2</v>
      </c>
      <c r="I7" s="3">
        <v>9.7600000000000006E-2</v>
      </c>
      <c r="J7" s="3">
        <v>7.3200000000000001E-2</v>
      </c>
      <c r="K7" s="3">
        <v>0</v>
      </c>
    </row>
    <row r="8" spans="1:11" x14ac:dyDescent="0.35">
      <c r="A8" t="s">
        <v>15</v>
      </c>
      <c r="B8" s="3">
        <v>0.13639999999999999</v>
      </c>
      <c r="C8" s="3">
        <v>0.13639999999999999</v>
      </c>
      <c r="D8" s="3">
        <v>0.13639999999999999</v>
      </c>
      <c r="E8" s="3">
        <v>9.0899999999999995E-2</v>
      </c>
      <c r="F8" s="3">
        <v>9.0899999999999995E-2</v>
      </c>
      <c r="G8" s="3">
        <v>9.0899999999999995E-2</v>
      </c>
      <c r="H8" s="3">
        <v>9.0899999999999995E-2</v>
      </c>
      <c r="I8" s="3">
        <v>9.0899999999999995E-2</v>
      </c>
      <c r="J8" s="3">
        <v>6.8199999999999997E-2</v>
      </c>
      <c r="K8" s="3">
        <v>6.8199999999999997E-2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7A9D-3FB6-46A4-8C1D-726F2DEB6ADD}">
  <sheetPr codeName="Sheet10"/>
  <dimension ref="A1:E11"/>
  <sheetViews>
    <sheetView workbookViewId="0">
      <selection activeCell="C22" sqref="C22"/>
    </sheetView>
  </sheetViews>
  <sheetFormatPr defaultRowHeight="14.5" x14ac:dyDescent="0.35"/>
  <sheetData>
    <row r="1" spans="1:5" x14ac:dyDescent="0.35">
      <c r="B1">
        <v>0</v>
      </c>
      <c r="C1">
        <v>1</v>
      </c>
      <c r="D1">
        <v>2</v>
      </c>
      <c r="E1">
        <v>3</v>
      </c>
    </row>
    <row r="2" spans="1:5" x14ac:dyDescent="0.35">
      <c r="A2" t="s">
        <v>16</v>
      </c>
      <c r="B2">
        <v>209</v>
      </c>
      <c r="C2">
        <v>239</v>
      </c>
      <c r="D2">
        <v>269</v>
      </c>
      <c r="E2">
        <v>299</v>
      </c>
    </row>
    <row r="3" spans="1:5" x14ac:dyDescent="0.35">
      <c r="A3" t="s">
        <v>5</v>
      </c>
      <c r="B3">
        <v>14</v>
      </c>
      <c r="C3">
        <v>16</v>
      </c>
      <c r="D3">
        <v>18</v>
      </c>
      <c r="E3">
        <v>19</v>
      </c>
    </row>
    <row r="4" spans="1:5" x14ac:dyDescent="0.35">
      <c r="A4" t="s">
        <v>6</v>
      </c>
      <c r="B4">
        <v>16</v>
      </c>
      <c r="C4">
        <v>19</v>
      </c>
      <c r="D4">
        <v>21</v>
      </c>
      <c r="E4">
        <v>23</v>
      </c>
    </row>
    <row r="5" spans="1:5" x14ac:dyDescent="0.35">
      <c r="A5" t="s">
        <v>7</v>
      </c>
      <c r="B5" s="2">
        <v>4.1000000000000002E-2</v>
      </c>
      <c r="C5" s="2">
        <v>4.7E-2</v>
      </c>
      <c r="D5" s="2">
        <v>5.2999999999999999E-2</v>
      </c>
      <c r="E5" s="2">
        <v>5.8000000000000003E-2</v>
      </c>
    </row>
    <row r="6" spans="1:5" x14ac:dyDescent="0.35">
      <c r="A6" t="s">
        <v>8</v>
      </c>
      <c r="B6" s="2">
        <v>4.1000000000000002E-2</v>
      </c>
      <c r="C6" s="2">
        <v>4.7E-2</v>
      </c>
      <c r="D6" s="2">
        <v>5.2999999999999999E-2</v>
      </c>
      <c r="E6" s="2">
        <v>5.8000000000000003E-2</v>
      </c>
    </row>
    <row r="7" spans="1:5" x14ac:dyDescent="0.35">
      <c r="A7" t="s">
        <v>9</v>
      </c>
      <c r="B7" s="2">
        <v>5.0999999999999997E-2</v>
      </c>
      <c r="C7" s="2">
        <v>5.8000000000000003E-2</v>
      </c>
      <c r="D7" s="2">
        <v>6.6000000000000003E-2</v>
      </c>
      <c r="E7" s="2">
        <v>7.2999999999999995E-2</v>
      </c>
    </row>
    <row r="8" spans="1:5" x14ac:dyDescent="0.35">
      <c r="A8" t="s">
        <v>11</v>
      </c>
      <c r="B8">
        <v>16</v>
      </c>
      <c r="C8">
        <v>19</v>
      </c>
      <c r="D8">
        <v>21</v>
      </c>
      <c r="E8">
        <v>23</v>
      </c>
    </row>
    <row r="9" spans="1:5" x14ac:dyDescent="0.35">
      <c r="A9" t="s">
        <v>10</v>
      </c>
      <c r="B9" s="2">
        <v>4.4999999999999998E-2</v>
      </c>
      <c r="C9" s="2">
        <v>5.1999999999999998E-2</v>
      </c>
      <c r="D9" s="2">
        <v>5.8000000000000003E-2</v>
      </c>
      <c r="E9" s="2">
        <v>6.5000000000000002E-2</v>
      </c>
    </row>
    <row r="10" spans="1:5" x14ac:dyDescent="0.35">
      <c r="A10" t="s">
        <v>12</v>
      </c>
      <c r="B10" s="2">
        <v>2.7E-2</v>
      </c>
      <c r="C10" s="2">
        <v>3.1E-2</v>
      </c>
      <c r="D10" s="2">
        <v>3.5000000000000003E-2</v>
      </c>
      <c r="E10" s="2">
        <v>3.9E-2</v>
      </c>
    </row>
    <row r="11" spans="1:5" x14ac:dyDescent="0.35">
      <c r="A11" t="s">
        <v>13</v>
      </c>
      <c r="B11" s="2">
        <v>5.3999999999999999E-2</v>
      </c>
      <c r="C11" s="2">
        <v>6.2E-2</v>
      </c>
      <c r="D11" s="1">
        <v>7.0000000000000007E-2</v>
      </c>
      <c r="E11" s="2">
        <v>7.8E-2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</vt:lpstr>
      <vt:lpstr>Mainstats</vt:lpstr>
      <vt:lpstr>MainVal</vt:lpstr>
      <vt:lpstr>TotalUpg</vt:lpstr>
      <vt:lpstr>Flower</vt:lpstr>
      <vt:lpstr>Plume</vt:lpstr>
      <vt:lpstr>Sands</vt:lpstr>
      <vt:lpstr>Goblet</vt:lpstr>
      <vt:lpstr>Circlet</vt:lpstr>
      <vt:lpstr>Tiers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gavin ng</dc:creator>
  <cp:lastModifiedBy>gavin ng</cp:lastModifiedBy>
  <dcterms:created xsi:type="dcterms:W3CDTF">2021-03-25T15:02:20Z</dcterms:created>
  <dcterms:modified xsi:type="dcterms:W3CDTF">2021-04-19T14:53:50Z</dcterms:modified>
</cp:coreProperties>
</file>